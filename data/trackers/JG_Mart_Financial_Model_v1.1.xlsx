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_Projection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0442D"/>
      <sz val="16"/>
    </font>
    <font>
      <name val="Arial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color rgb="000000FF"/>
    </font>
    <font>
      <name val="Arial"/>
      <b val="1"/>
      <sz val="12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442D"/>
      </patternFill>
    </fill>
    <fill>
      <patternFill patternType="solid">
        <fgColor rgb="00E2EFDA"/>
      </patternFill>
    </fill>
    <fill>
      <patternFill patternType="solid">
        <fgColor rgb="00FFFF9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3" fontId="5" fillId="4" borderId="0" pivotButton="0" quotePrefix="0" xfId="0"/>
    <xf numFmtId="164" fontId="5" fillId="4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3" borderId="0" pivotButton="0" quotePrefix="0" xfId="0"/>
    <xf numFmtId="0" fontId="6" fillId="0" borderId="0" pivotButton="0" quotePrefix="0" xfId="0"/>
    <xf numFmtId="4" fontId="6" fillId="5" borderId="0" pivotButton="0" quotePrefix="0" xfId="0"/>
    <xf numFmtId="164" fontId="0" fillId="0" borderId="0" pivotButton="0" quotePrefix="0" xfId="0"/>
    <xf numFmtId="0" fontId="7" fillId="2" borderId="0" applyAlignment="1" pivotButton="0" quotePrefix="0" xfId="0">
      <alignment horizontal="center"/>
    </xf>
    <xf numFmtId="3" fontId="0" fillId="0" borderId="0" pivotButton="0" quotePrefix="0" xfId="0"/>
    <xf numFmtId="3" fontId="0" fillId="3" borderId="0" pivotButton="0" quotePrefix="0" xfId="0"/>
    <xf numFmtId="4" fontId="0" fillId="5" borderId="0" pivotButton="0" quotePrefix="0" xfId="0"/>
    <xf numFmtId="0" fontId="5" fillId="4" borderId="0" pivotButton="0" quotePrefix="0" xfId="0"/>
    <xf numFmtId="3" fontId="5" fillId="0" borderId="0" pivotButton="0" quotePrefix="0" xfId="0"/>
    <xf numFmtId="3" fontId="4" fillId="3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</cols>
  <sheetData>
    <row r="1">
      <c r="A1" s="1" t="inlineStr">
        <is>
          <t>JG MART — FINANCIAL MODEL v1.1</t>
        </is>
      </c>
    </row>
    <row r="2">
      <c r="A2" s="2" t="inlineStr">
        <is>
          <t>Founder: Fahad Ibrahim | Contact: +8801670-944800 | Japan Garden City, Dhaka</t>
        </is>
      </c>
    </row>
    <row r="3">
      <c r="A3" t="inlineStr">
        <is>
          <t>All figures in BDT | Blue text = Inputs (change these) | Black text = Formulas</t>
        </is>
      </c>
    </row>
    <row r="5">
      <c r="A5" s="3" t="inlineStr">
        <is>
          <t>KEY OPERATING ASSUMPTIONS</t>
        </is>
      </c>
    </row>
    <row r="6">
      <c r="A6" s="4" t="inlineStr">
        <is>
          <t>Metric</t>
        </is>
      </c>
      <c r="B6" s="4" t="inlineStr">
        <is>
          <t>Value</t>
        </is>
      </c>
      <c r="C6" s="4" t="inlineStr">
        <is>
          <t>Unit</t>
        </is>
      </c>
    </row>
    <row r="7">
      <c r="A7" t="inlineStr">
        <is>
          <t>Average Order Value (AOV)</t>
        </is>
      </c>
      <c r="B7" s="5" t="n">
        <v>800</v>
      </c>
      <c r="C7" t="inlineStr">
        <is>
          <t>BDT</t>
        </is>
      </c>
    </row>
    <row r="8">
      <c r="A8" t="inlineStr">
        <is>
          <t>Commission Rate (avg)</t>
        </is>
      </c>
      <c r="B8" s="6" t="n">
        <v>0.11</v>
      </c>
      <c r="C8" t="inlineStr">
        <is>
          <t>%</t>
        </is>
      </c>
    </row>
    <row r="9">
      <c r="A9" t="inlineStr">
        <is>
          <t>Delivery Fee (after free period)</t>
        </is>
      </c>
      <c r="B9" s="5" t="n">
        <v>30</v>
      </c>
      <c r="C9" t="inlineStr">
        <is>
          <t>BDT</t>
        </is>
      </c>
    </row>
    <row r="10">
      <c r="A10" t="inlineStr">
        <is>
          <t>Subscription Revenue (blended per order)</t>
        </is>
      </c>
      <c r="B10" s="5" t="n">
        <v>20</v>
      </c>
      <c r="C10" t="inlineStr">
        <is>
          <t>BDT</t>
        </is>
      </c>
    </row>
    <row r="11">
      <c r="A11" t="inlineStr">
        <is>
          <t>Rider Cost per Order</t>
        </is>
      </c>
      <c r="B11" s="5" t="n">
        <v>31</v>
      </c>
      <c r="C11" t="inlineStr">
        <is>
          <t>BDT</t>
        </is>
      </c>
    </row>
    <row r="12">
      <c r="A12" t="inlineStr">
        <is>
          <t>Manager / Ops Cost per Order</t>
        </is>
      </c>
      <c r="B12" s="5" t="n">
        <v>16</v>
      </c>
      <c r="C12" t="inlineStr">
        <is>
          <t>BDT</t>
        </is>
      </c>
    </row>
    <row r="13">
      <c r="A13" t="inlineStr">
        <is>
          <t>Marketing / Referral Cost per Order</t>
        </is>
      </c>
      <c r="B13" s="5" t="n">
        <v>13</v>
      </c>
      <c r="C13" t="inlineStr">
        <is>
          <t>BDT</t>
        </is>
      </c>
    </row>
    <row r="14">
      <c r="A14" t="inlineStr">
        <is>
          <t>Packaging &amp; Misc per Order</t>
        </is>
      </c>
      <c r="B14" s="5" t="n">
        <v>7</v>
      </c>
      <c r="C14" t="inlineStr">
        <is>
          <t>BDT</t>
        </is>
      </c>
    </row>
    <row r="15">
      <c r="A15" t="inlineStr">
        <is>
          <t>Target Orders Month 1</t>
        </is>
      </c>
      <c r="B15" s="5" t="n">
        <v>150</v>
      </c>
      <c r="C15" t="inlineStr">
        <is>
          <t>orders</t>
        </is>
      </c>
    </row>
    <row r="16">
      <c r="A16" t="inlineStr">
        <is>
          <t>Target Orders Month 2</t>
        </is>
      </c>
      <c r="B16" s="5" t="n">
        <v>350</v>
      </c>
      <c r="C16" t="inlineStr">
        <is>
          <t>orders</t>
        </is>
      </c>
    </row>
    <row r="17">
      <c r="A17" t="inlineStr">
        <is>
          <t>Target Orders Month 3</t>
        </is>
      </c>
      <c r="B17" s="5" t="n">
        <v>550</v>
      </c>
      <c r="C17" t="inlineStr">
        <is>
          <t>orders</t>
        </is>
      </c>
    </row>
    <row r="18">
      <c r="A18" t="inlineStr">
        <is>
          <t>Target Orders Month 6</t>
        </is>
      </c>
      <c r="B18" s="5" t="n">
        <v>900</v>
      </c>
      <c r="C18" t="inlineStr">
        <is>
          <t>orders</t>
        </is>
      </c>
    </row>
    <row r="19">
      <c r="A19" t="inlineStr">
        <is>
          <t>Target Orders Month 12</t>
        </is>
      </c>
      <c r="B19" s="5" t="n">
        <v>1500</v>
      </c>
      <c r="C19" t="inlineStr">
        <is>
          <t>orders</t>
        </is>
      </c>
    </row>
    <row r="22">
      <c r="A22" s="3" t="inlineStr">
        <is>
          <t>REVENUE PER ORDER CALCULATION</t>
        </is>
      </c>
    </row>
    <row r="23">
      <c r="A23" t="inlineStr">
        <is>
          <t>Commission Revenue</t>
        </is>
      </c>
      <c r="B23" s="7">
        <f>B7*B8</f>
        <v/>
      </c>
    </row>
    <row r="24">
      <c r="A24" t="inlineStr">
        <is>
          <t>Delivery Fee</t>
        </is>
      </c>
      <c r="B24" s="7">
        <f>B9</f>
        <v/>
      </c>
    </row>
    <row r="25">
      <c r="A25" t="inlineStr">
        <is>
          <t>Subscription (blended)</t>
        </is>
      </c>
      <c r="B25" s="7">
        <f>B10</f>
        <v/>
      </c>
    </row>
    <row r="26">
      <c r="A26" s="8" t="inlineStr">
        <is>
          <t>TOTAL REVENUE PER ORDER</t>
        </is>
      </c>
      <c r="B26" s="9">
        <f>B23+B24+B25</f>
        <v/>
      </c>
    </row>
    <row r="28">
      <c r="A28" s="3" t="inlineStr">
        <is>
          <t>COST PER ORDER</t>
        </is>
      </c>
    </row>
    <row r="29">
      <c r="A29" t="inlineStr">
        <is>
          <t>Rider</t>
        </is>
      </c>
      <c r="B29">
        <f>B11</f>
        <v/>
      </c>
    </row>
    <row r="30">
      <c r="A30" t="inlineStr">
        <is>
          <t>Manager/Ops</t>
        </is>
      </c>
      <c r="B30">
        <f>B12</f>
        <v/>
      </c>
    </row>
    <row r="31">
      <c r="A31" t="inlineStr">
        <is>
          <t>Marketing</t>
        </is>
      </c>
      <c r="B31">
        <f>B13</f>
        <v/>
      </c>
    </row>
    <row r="32">
      <c r="A32" t="inlineStr">
        <is>
          <t>Packaging</t>
        </is>
      </c>
      <c r="B32">
        <f>B14</f>
        <v/>
      </c>
    </row>
    <row r="33">
      <c r="A33" s="8" t="inlineStr">
        <is>
          <t>TOTAL COST PER ORDER</t>
        </is>
      </c>
      <c r="B33" s="9">
        <f>B29+B30+B31+B32</f>
        <v/>
      </c>
    </row>
    <row r="35">
      <c r="A35" s="10" t="inlineStr">
        <is>
          <t>CONTRIBUTION MARGIN PER ORDER</t>
        </is>
      </c>
      <c r="B35" s="11">
        <f>B26-B33</f>
        <v/>
      </c>
    </row>
    <row r="36">
      <c r="A36" t="inlineStr">
        <is>
          <t>Contribution Margin %</t>
        </is>
      </c>
      <c r="B36" s="12">
        <f>B35/B26</f>
        <v/>
      </c>
    </row>
  </sheetData>
  <mergeCells count="3">
    <mergeCell ref="A5:C5"/>
    <mergeCell ref="A28:C28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JG MART — 12-MONTH P&amp;L PROJECTION</t>
        </is>
      </c>
    </row>
    <row r="2">
      <c r="A2" t="inlineStr">
        <is>
          <t>All figures in BDT | Linked to Assumptions sheet</t>
        </is>
      </c>
    </row>
    <row r="4">
      <c r="A4" t="inlineStr">
        <is>
          <t>Metric</t>
        </is>
      </c>
      <c r="B4" s="13" t="inlineStr">
        <is>
          <t>Month 1</t>
        </is>
      </c>
      <c r="C4" s="13" t="inlineStr">
        <is>
          <t>Month 2</t>
        </is>
      </c>
      <c r="D4" s="13" t="inlineStr">
        <is>
          <t>Month 3</t>
        </is>
      </c>
      <c r="E4" s="13" t="inlineStr">
        <is>
          <t>Month 4</t>
        </is>
      </c>
      <c r="F4" s="13" t="inlineStr">
        <is>
          <t>Month 5</t>
        </is>
      </c>
      <c r="G4" s="13" t="inlineStr">
        <is>
          <t>Month 6</t>
        </is>
      </c>
      <c r="H4" s="13" t="inlineStr">
        <is>
          <t>Month 7</t>
        </is>
      </c>
      <c r="I4" s="13" t="inlineStr">
        <is>
          <t>Month 8</t>
        </is>
      </c>
      <c r="J4" s="13" t="inlineStr">
        <is>
          <t>Month 9</t>
        </is>
      </c>
      <c r="K4" s="13" t="inlineStr">
        <is>
          <t>Month 10</t>
        </is>
      </c>
      <c r="L4" s="13" t="inlineStr">
        <is>
          <t>Month 11</t>
        </is>
      </c>
      <c r="M4" s="13" t="inlineStr">
        <is>
          <t>Month 12</t>
        </is>
      </c>
    </row>
    <row r="5">
      <c r="A5" t="inlineStr">
        <is>
          <t>Orders</t>
        </is>
      </c>
      <c r="B5" s="5">
        <f>'Assumptions'!B15</f>
        <v/>
      </c>
      <c r="C5" s="5">
        <f>'Assumptions'!B16</f>
        <v/>
      </c>
      <c r="D5" s="5">
        <f>'Assumptions'!B17</f>
        <v/>
      </c>
      <c r="E5" s="5" t="n">
        <v>650</v>
      </c>
      <c r="F5" s="5" t="n">
        <v>780</v>
      </c>
      <c r="G5" s="5">
        <f>'Assumptions'!B18</f>
        <v/>
      </c>
      <c r="H5" s="5" t="n">
        <v>1050</v>
      </c>
      <c r="I5" s="5" t="n">
        <v>1150</v>
      </c>
      <c r="J5" s="5" t="n">
        <v>1250</v>
      </c>
      <c r="K5" s="5" t="n">
        <v>1350</v>
      </c>
      <c r="L5" s="5" t="n">
        <v>1400</v>
      </c>
      <c r="M5" s="5">
        <f>'Assumptions'!B19</f>
        <v/>
      </c>
    </row>
    <row r="6">
      <c r="A6" t="inlineStr">
        <is>
          <t>Revenue</t>
        </is>
      </c>
      <c r="B6" s="14">
        <f>B5*Assumptions!$B$26</f>
        <v/>
      </c>
      <c r="C6" s="14">
        <f>C5*Assumptions!$B$26</f>
        <v/>
      </c>
      <c r="D6" s="14">
        <f>D5*Assumptions!$B$26</f>
        <v/>
      </c>
      <c r="E6" s="14">
        <f>E5*Assumptions!$B$26</f>
        <v/>
      </c>
      <c r="F6" s="14">
        <f>F5*Assumptions!$B$26</f>
        <v/>
      </c>
      <c r="G6" s="14">
        <f>G5*Assumptions!$B$26</f>
        <v/>
      </c>
      <c r="H6" s="14">
        <f>H5*Assumptions!$B$26</f>
        <v/>
      </c>
      <c r="I6" s="14">
        <f>I5*Assumptions!$B$26</f>
        <v/>
      </c>
      <c r="J6" s="14">
        <f>J5*Assumptions!$B$26</f>
        <v/>
      </c>
      <c r="K6" s="14">
        <f>K5*Assumptions!$B$26</f>
        <v/>
      </c>
      <c r="L6" s="14">
        <f>L5*Assumptions!$B$26</f>
        <v/>
      </c>
      <c r="M6" s="14">
        <f>M5*Assumptions!$B$26</f>
        <v/>
      </c>
    </row>
    <row r="7">
      <c r="A7" t="inlineStr">
        <is>
          <t>Total Costs</t>
        </is>
      </c>
      <c r="B7" s="14">
        <f>B5*Assumptions!$B$33</f>
        <v/>
      </c>
      <c r="C7" s="14">
        <f>C5*Assumptions!$B$33</f>
        <v/>
      </c>
      <c r="D7" s="14">
        <f>D5*Assumptions!$B$33</f>
        <v/>
      </c>
      <c r="E7" s="14">
        <f>E5*Assumptions!$B$33</f>
        <v/>
      </c>
      <c r="F7" s="14">
        <f>F5*Assumptions!$B$33</f>
        <v/>
      </c>
      <c r="G7" s="14">
        <f>G5*Assumptions!$B$33</f>
        <v/>
      </c>
      <c r="H7" s="14">
        <f>H5*Assumptions!$B$33</f>
        <v/>
      </c>
      <c r="I7" s="14">
        <f>I5*Assumptions!$B$33</f>
        <v/>
      </c>
      <c r="J7" s="14">
        <f>J5*Assumptions!$B$33</f>
        <v/>
      </c>
      <c r="K7" s="14">
        <f>K5*Assumptions!$B$33</f>
        <v/>
      </c>
      <c r="L7" s="14">
        <f>L5*Assumptions!$B$33</f>
        <v/>
      </c>
      <c r="M7" s="14">
        <f>M5*Assumptions!$B$33</f>
        <v/>
      </c>
    </row>
    <row r="8">
      <c r="A8" t="inlineStr">
        <is>
          <t>Contribution Profit</t>
        </is>
      </c>
      <c r="B8" s="15">
        <f>B6-B7</f>
        <v/>
      </c>
      <c r="C8" s="15">
        <f>C6-C7</f>
        <v/>
      </c>
      <c r="D8" s="15">
        <f>D6-D7</f>
        <v/>
      </c>
      <c r="E8" s="15">
        <f>E6-E7</f>
        <v/>
      </c>
      <c r="F8" s="15">
        <f>F6-F7</f>
        <v/>
      </c>
      <c r="G8" s="15">
        <f>G6-G7</f>
        <v/>
      </c>
      <c r="H8" s="15">
        <f>H6-H7</f>
        <v/>
      </c>
      <c r="I8" s="15">
        <f>I6-I7</f>
        <v/>
      </c>
      <c r="J8" s="15">
        <f>J6-J7</f>
        <v/>
      </c>
      <c r="K8" s="15">
        <f>K6-K7</f>
        <v/>
      </c>
      <c r="L8" s="15">
        <f>L6-L7</f>
        <v/>
      </c>
      <c r="M8" s="15">
        <f>M6-M7</f>
        <v/>
      </c>
    </row>
    <row r="9">
      <c r="A9" t="inlineStr">
        <is>
          <t>Cumulative Profit</t>
        </is>
      </c>
      <c r="B9">
        <f>B8</f>
        <v/>
      </c>
      <c r="C9" s="14">
        <f>B9+C8</f>
        <v/>
      </c>
      <c r="D9" s="14">
        <f>C9+D8</f>
        <v/>
      </c>
      <c r="E9" s="14">
        <f>D9+E8</f>
        <v/>
      </c>
      <c r="F9" s="14">
        <f>E9+F8</f>
        <v/>
      </c>
      <c r="G9" s="14">
        <f>F9+G8</f>
        <v/>
      </c>
      <c r="H9" s="14">
        <f>G9+H8</f>
        <v/>
      </c>
      <c r="I9" s="14">
        <f>H9+I8</f>
        <v/>
      </c>
      <c r="J9" s="14">
        <f>I9+J8</f>
        <v/>
      </c>
      <c r="K9" s="14">
        <f>J9+K8</f>
        <v/>
      </c>
      <c r="L9" s="14">
        <f>K9+L8</f>
        <v/>
      </c>
      <c r="M9" s="14">
        <f>L9+M8</f>
        <v/>
      </c>
    </row>
    <row r="11">
      <c r="A11" t="inlineStr">
        <is>
          <t>NOTES</t>
        </is>
      </c>
    </row>
    <row r="12">
      <c r="A12" t="inlineStr">
        <is>
          <t>• Month 1 assumes free delivery (delivery fee revenue = 0 in early weeks) — adjust manually if needed</t>
        </is>
      </c>
    </row>
    <row r="13">
      <c r="A13" t="inlineStr">
        <is>
          <t>• Fixed costs (rent, software, etc.) currently absorbed in per-order manager cost for simplicity</t>
        </is>
      </c>
    </row>
    <row r="14">
      <c r="A14" t="inlineStr">
        <is>
          <t>• Seed capital of 1,500,000 BDT provides runway; model shows operating contribution only</t>
        </is>
      </c>
    </row>
    <row r="15">
      <c r="A15" t="inlineStr">
        <is>
          <t>• Change yellow cells on Assumptions sheet to run scenarios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JG MART — UNIT ECONOMICS DASHBOARD</t>
        </is>
      </c>
    </row>
    <row r="3">
      <c r="A3" s="8" t="inlineStr">
        <is>
          <t>Per Order Economics (from Assumptions)</t>
        </is>
      </c>
    </row>
    <row r="4">
      <c r="A4" t="inlineStr">
        <is>
          <t>Average Order Value</t>
        </is>
      </c>
      <c r="B4" s="14">
        <f>'Assumptions'!B7</f>
        <v/>
      </c>
    </row>
    <row r="5">
      <c r="A5" t="inlineStr">
        <is>
          <t>Revenue per Order</t>
        </is>
      </c>
      <c r="B5" s="7">
        <f>'Assumptions'!B26</f>
        <v/>
      </c>
    </row>
    <row r="6">
      <c r="A6" t="inlineStr">
        <is>
          <t>Cost per Order</t>
        </is>
      </c>
      <c r="B6" s="7">
        <f>'Assumptions'!B33</f>
        <v/>
      </c>
    </row>
    <row r="7">
      <c r="A7" t="inlineStr">
        <is>
          <t>Contribution per Order</t>
        </is>
      </c>
      <c r="B7" s="16">
        <f>'Assumptions'!B35</f>
        <v/>
      </c>
    </row>
    <row r="8">
      <c r="A8" t="inlineStr">
        <is>
          <t>Margin %</t>
        </is>
      </c>
      <c r="B8" s="12">
        <f>'Assumptions'!B36</f>
        <v/>
      </c>
    </row>
    <row r="10">
      <c r="A10" t="inlineStr">
        <is>
          <t>Break-even Orders per Month (approx)</t>
        </is>
      </c>
      <c r="B10" s="17" t="n">
        <v>50</v>
      </c>
    </row>
    <row r="12">
      <c r="A12" s="3" t="inlineStr">
        <is>
          <t>SEED CAPITAL USE OF FUNDS</t>
        </is>
      </c>
    </row>
    <row r="13">
      <c r="A13" s="8" t="inlineStr">
        <is>
          <t>Item</t>
        </is>
      </c>
      <c r="B13" s="8" t="inlineStr">
        <is>
          <t>Amount (BDT)</t>
        </is>
      </c>
    </row>
    <row r="14">
      <c r="A14" t="inlineStr">
        <is>
          <t>Rider salary (6 months)</t>
        </is>
      </c>
      <c r="B14" s="18" t="n">
        <v>72000</v>
      </c>
    </row>
    <row r="15">
      <c r="A15" t="inlineStr">
        <is>
          <t>Manager / Founder support (6 months)</t>
        </is>
      </c>
      <c r="B15" s="18" t="n">
        <v>72000</v>
      </c>
    </row>
    <row r="16">
      <c r="A16" t="inlineStr">
        <is>
          <t>Marketing &amp; Referrals</t>
        </is>
      </c>
      <c r="B16" s="18" t="n">
        <v>50000</v>
      </c>
    </row>
    <row r="17">
      <c r="A17" t="inlineStr">
        <is>
          <t>Working Capital / Partner float</t>
        </is>
      </c>
      <c r="B17" s="18" t="n">
        <v>50000</v>
      </c>
    </row>
    <row r="18">
      <c r="A18" t="inlineStr">
        <is>
          <t>Tools, bags, packaging, misc</t>
        </is>
      </c>
      <c r="B18" s="18" t="n">
        <v>6000</v>
      </c>
    </row>
    <row r="19">
      <c r="A19" s="8" t="inlineStr">
        <is>
          <t>TOTAL SEED</t>
        </is>
      </c>
      <c r="B19" s="19">
        <f>SUM(B14:B18)</f>
        <v/>
      </c>
    </row>
  </sheetData>
  <mergeCells count="1"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22" customWidth="1" min="5" max="5"/>
  </cols>
  <sheetData>
    <row r="1">
      <c r="A1" s="1" t="inlineStr">
        <is>
          <t>SCENARIO ANALYSIS</t>
        </is>
      </c>
    </row>
    <row r="2">
      <c r="A2" t="inlineStr">
        <is>
          <t>Change the yellow cells below to stress-test the model</t>
        </is>
      </c>
    </row>
    <row r="4">
      <c r="A4" s="20" t="inlineStr">
        <is>
          <t>Scenario</t>
        </is>
      </c>
      <c r="B4" s="20" t="inlineStr">
        <is>
          <t>Orders M3</t>
        </is>
      </c>
      <c r="C4" s="20" t="inlineStr">
        <is>
          <t>AOV</t>
        </is>
      </c>
      <c r="D4" s="20" t="inlineStr">
        <is>
          <t>Contribution / Order</t>
        </is>
      </c>
      <c r="E4" s="20" t="inlineStr">
        <is>
          <t>Monthly Contribution M3</t>
        </is>
      </c>
    </row>
    <row r="5">
      <c r="A5" t="inlineStr">
        <is>
          <t>Base Case</t>
        </is>
      </c>
      <c r="B5" s="5" t="n">
        <v>550</v>
      </c>
      <c r="C5" s="5" t="n">
        <v>800</v>
      </c>
      <c r="D5" s="5" t="n">
        <v>71</v>
      </c>
      <c r="E5" s="14">
        <f>B5*D5</f>
        <v/>
      </c>
    </row>
    <row r="6">
      <c r="A6" t="inlineStr">
        <is>
          <t>Optimistic</t>
        </is>
      </c>
      <c r="B6" s="5" t="n">
        <v>800</v>
      </c>
      <c r="C6" s="5" t="n">
        <v>900</v>
      </c>
      <c r="D6" s="5" t="n">
        <v>85</v>
      </c>
      <c r="E6" s="14">
        <f>B6*D6</f>
        <v/>
      </c>
    </row>
    <row r="7">
      <c r="A7" t="inlineStr">
        <is>
          <t>Pessimistic</t>
        </is>
      </c>
      <c r="B7" s="5" t="n">
        <v>300</v>
      </c>
      <c r="C7" s="5" t="n">
        <v>700</v>
      </c>
      <c r="D7" s="5" t="n">
        <v>45</v>
      </c>
      <c r="E7" s="14">
        <f>B7*D7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2026-07-27T23:21:37Z</dcterms:created>
  <dcterms:modified xmlns:dcterms="http://purl.org/dc/terms/" xmlns:xsi="http://www.w3.org/2001/XMLSchema-instance" xsi:type="dcterms:W3CDTF">2026-07-27T23:21:37Z</dcterms:modified>
</cp:coreProperties>
</file>